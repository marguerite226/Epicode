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9da38643fb9cf9f/Documenti/"/>
    </mc:Choice>
  </mc:AlternateContent>
  <xr:revisionPtr revIDLastSave="156" documentId="8_{38C3C759-F542-43F9-8589-6CEAA78F0E2B}" xr6:coauthVersionLast="47" xr6:coauthVersionMax="47" xr10:uidLastSave="{9B70BA98-8DCF-4303-8786-4744B0D2C8B2}"/>
  <bookViews>
    <workbookView xWindow="4320" yWindow="0" windowWidth="7500" windowHeight="6000" activeTab="1" xr2:uid="{00000000-000D-0000-FFFF-FFFF00000000}"/>
  </bookViews>
  <sheets>
    <sheet name="Tabella dati" sheetId="1" r:id="rId1"/>
    <sheet name="Grafici prodotti" sheetId="2" r:id="rId2"/>
    <sheet name="Grafici Aziende" sheetId="3" r:id="rId3"/>
  </sheets>
  <definedNames>
    <definedName name="_xlnm.Print_Area" localSheetId="0">Tabella1[]</definedName>
  </definedNames>
  <calcPr calcId="191029"/>
  <pivotCaches>
    <pivotCache cacheId="10" r:id="rId4"/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<sst xmlns="http://schemas.openxmlformats.org/spreadsheetml/2006/main" count="45" uniqueCount="23">
  <si>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</si>
  <si>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</si>
  <si>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</si>
  <si>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</si>
  <si>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</si>
  <si>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</si>
  <si>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</si>
  <si>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</si>
  <si>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</si>
  <si>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</si>
  <si>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</si>
  <si>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</si>
  <si>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</si>
  <si>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</si>
  <si>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</si>
  <si>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</si>
  <si>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</si>
  <si>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</si>
  <si>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</si>
  <si>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Etichette di riga</t>
  </si>
  <si>
    <t>Somma di Prezzo</t>
  </si>
  <si>
    <t>Totale complessivo</t>
  </si>
  <si>
    <t>Somma di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</si>
</sst>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7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 2 modullo 1.xlsx]Grafici prodotti!Tabella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466102252538763E-2"/>
          <c:y val="0.34881103345227915"/>
          <c:w val="0.77292164732890278"/>
          <c:h val="0.238912481445437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'Grafici prodotti'!$B$3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'Grafici prodotti'!$A$4:$A$14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'Grafici prodotti'!$B$4:$B$14</c:f>
              <c:numCache>
                <c:formatCode>General</c:formatCode>
                <c:ptCount val="10"/>
                <c:pt idx="0">
                  <c:v>12600</c:v>
                </c:pt>
                <c:pt idx="1">
                  <c:v>10200</c:v>
                </c:pt>
                <c:pt idx="2">
                  <c:v>13125</c:v>
                </c:pt>
                <c:pt idx="3">
                  <c:v>9750</c:v>
                </c:pt>
                <c:pt idx="4">
                  <c:v>11550</c:v>
                </c:pt>
                <c:pt idx="5">
                  <c:v>9800</c:v>
                </c:pt>
                <c:pt idx="6">
                  <c:v>12000</c:v>
                </c:pt>
                <c:pt idx="7">
                  <c:v>7500</c:v>
                </c:pt>
                <c:pt idx="8">
                  <c:v>7875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A-4552-B48C-B1EBFCB8D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967360"/>
        <c:axId val="2103974080"/>
      </c:barChart>
      <c:catAx>
        <c:axId val="210396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974080"/>
        <c:crosses val="autoZero"/>
        <c:auto val="1"/>
        <c:lblAlgn val="ctr"/>
        <c:lblOffset val="100"/>
        <c:noMultiLvlLbl val="0"/>
      </c:catAx>
      <c:valAx>
        <c:axId val="210397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96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 horizontalDpi="-3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 2 modullo 1.xlsx]Grafici prodotti!Tabella pivot3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'Grafici prodotti'!$B$3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'Grafici prodotti'!$A$4:$A$14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'Grafici prodotti'!$B$4:$B$14</c:f>
              <c:numCache>
                <c:formatCode>General</c:formatCode>
                <c:ptCount val="10"/>
                <c:pt idx="0">
                  <c:v>12600</c:v>
                </c:pt>
                <c:pt idx="1">
                  <c:v>10200</c:v>
                </c:pt>
                <c:pt idx="2">
                  <c:v>13125</c:v>
                </c:pt>
                <c:pt idx="3">
                  <c:v>9750</c:v>
                </c:pt>
                <c:pt idx="4">
                  <c:v>11550</c:v>
                </c:pt>
                <c:pt idx="5">
                  <c:v>9800</c:v>
                </c:pt>
                <c:pt idx="6">
                  <c:v>12000</c:v>
                </c:pt>
                <c:pt idx="7">
                  <c:v>7500</c:v>
                </c:pt>
                <c:pt idx="8">
                  <c:v>7875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D-4D1A-939E-6CD14246F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 horizontalDpi="-3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 2 modullo 1.xlsx]Grafici Aziende!Tabella pivot5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16351746855906"/>
          <c:y val="0.26883315117525197"/>
          <c:w val="0.7284300087489064"/>
          <c:h val="0.50007327209098862"/>
        </c:manualLayout>
      </c:layout>
      <c:lineChart>
        <c:grouping val="standard"/>
        <c:varyColors val="0"/>
        <c:ser>
          <c:idx val="0"/>
          <c:order val="0"/>
          <c:tx>
            <c:strRef>
              <c:f>'Grafici Aziende'!$B$3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'Grafici Aziende'!$A$4:$A$8</c:f>
              <c:strCache>
                <c:ptCount val="4"/>
                <c:pt idx="0">
                  <c:v>AquaLux Dynamics</c:v>
                </c:pt>
                <c:pt idx="1">
                  <c:v>EcoVibe Solutions</c:v>
                </c:pt>
                <c:pt idx="2">
                  <c:v>SolarTech Solutions</c:v>
                </c:pt>
                <c:pt idx="3">
                  <c:v>Tech Innovations Ltd.</c:v>
                </c:pt>
              </c:strCache>
            </c:strRef>
          </c:cat>
          <c:val>
            <c:numRef>
              <c:f>'Grafici Aziende'!$B$4:$B$8</c:f>
              <c:numCache>
                <c:formatCode>General</c:formatCode>
                <c:ptCount val="4"/>
                <c:pt idx="0">
                  <c:v>52.75</c:v>
                </c:pt>
                <c:pt idx="1">
                  <c:v>13.5</c:v>
                </c:pt>
                <c:pt idx="2">
                  <c:v>29.25</c:v>
                </c:pt>
                <c:pt idx="3">
                  <c:v>49.25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1-4078-B08A-9959BBDC0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4497488"/>
        <c:axId val="1994467728"/>
      </c:lineChart>
      <c:catAx>
        <c:axId val="199449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4467728"/>
        <c:crosses val="autoZero"/>
        <c:auto val="1"/>
        <c:lblAlgn val="ctr"/>
        <c:lblOffset val="100"/>
        <c:noMultiLvlLbl val="0"/>
      </c:catAx>
      <c:valAx>
        <c:axId val="19944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449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 horizontalDpi="-3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 2 modullo 1.xlsx]Grafici Aziende!Tabella pivot5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'Grafici Aziende'!$B$3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'Grafici Aziende'!$A$4:$A$8</c:f>
              <c:strCache>
                <c:ptCount val="4"/>
                <c:pt idx="0">
                  <c:v>AquaLux Dynamics</c:v>
                </c:pt>
                <c:pt idx="1">
                  <c:v>EcoVibe Solutions</c:v>
                </c:pt>
                <c:pt idx="2">
                  <c:v>SolarTech Solutions</c:v>
                </c:pt>
                <c:pt idx="3">
                  <c:v>Tech Innovations Ltd.</c:v>
                </c:pt>
              </c:strCache>
            </c:strRef>
          </c:cat>
          <c:val>
            <c:numRef>
              <c:f>'Grafici Aziende'!$B$4:$B$8</c:f>
              <c:numCache>
                <c:formatCode>General</c:formatCode>
                <c:ptCount val="4"/>
                <c:pt idx="0">
                  <c:v>52.75</c:v>
                </c:pt>
                <c:pt idx="1">
                  <c:v>13.5</c:v>
                </c:pt>
                <c:pt idx="2">
                  <c:v>29.25</c:v>
                </c:pt>
                <c:pt idx="3">
                  <c:v>49.25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F-463E-A4EF-7157E4F0D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6245248"/>
        <c:axId val="996246208"/>
      </c:barChart>
      <c:catAx>
        <c:axId val="996245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6246208"/>
        <c:crosses val="autoZero"/>
        <c:auto val="1"/>
        <c:lblAlgn val="ctr"/>
        <c:lblOffset val="100"/>
        <c:noMultiLvlLbl val="0"/>
      </c:catAx>
      <c:valAx>
        <c:axId val="99624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62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 horizontalDpi="-3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91440</xdr:rowOff>
    </xdr:from>
    <xdr:to>
      <xdr:col>5</xdr:col>
      <xdr:colOff>213360</xdr:colOff>
      <xdr:row>54</xdr:row>
      <xdr:rowOff>68580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B873EF6-AA1E-C986-70B1-E5454913D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91440</xdr:rowOff>
    </xdr:from>
    <xdr:to>
      <xdr:col>3</xdr:col>
      <xdr:colOff>1013460</xdr:colOff>
      <xdr:row>31</xdr:row>
      <xdr:rowOff>99060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53107FE-16A7-CCA9-9CF6-EFEBF6A20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68580</xdr:rowOff>
    </xdr:from>
    <xdr:to>
      <xdr:col>6</xdr:col>
      <xdr:colOff>266700</xdr:colOff>
      <xdr:row>32</xdr:row>
      <xdr:rowOff>140970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72E2AFF-2657-ADE4-6597-5DD5D4019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35</xdr:row>
      <xdr:rowOff>38100</xdr:rowOff>
    </xdr:from>
    <xdr:to>
      <xdr:col>7</xdr:col>
      <xdr:colOff>487680</xdr:colOff>
      <xdr:row>48</xdr:row>
      <xdr:rowOff>144780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D82CF7A-39C1-E0D5-7F6E-B30902BBD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uerite flore Mbah" refreshedDate="46075.804132986108" createdVersion="8" refreshedVersion="8" minRefreshableVersion="3" recordCount="10" xr:uid="{241040A2-4EBC-40E0-82EF-9EEA3237FB3A}">
  <cacheSource type="worksheet">
    <worksheetSource name="Tabella1"/>
  </cacheSource>
  <cacheFields count="5">
    <cacheField name="Azienda" numFmtId="0">
      <sharedItems count="4">
        <s v="Tech Innovations Ltd."/>
        <s v="SolarTech Solutions"/>
        <s v="AquaLux Dynamics"/>
        <s v="EcoVibe Solutions"/>
      </sharedItems>
    </cacheField>
    <cacheField name="Prodotto" numFmtId="0">
      <sharedItems count="10">
        <s v="Tecnologia"/>
        <s v="Cibo"/>
        <s v="Pannelli"/>
        <s v="Quanti"/>
        <s v="Infinito"/>
        <s v="Crema"/>
        <s v="Acqua"/>
        <s v="Orizzonte"/>
        <s v="Pianeta"/>
        <s v="Vibrazione"/>
      </sharedItems>
    </cacheField>
    <cacheField name="Quantità" numFmtId="0">
      <sharedItems containsSemiMixedTypes="0" containsString="0" containsNumber="1" containsInteger="1" minValue="300" maxValue="1500"/>
    </cacheField>
    <cacheField name="Prezzo" numFmtId="0">
      <sharedItems containsSemiMixedTypes="0" containsString="0" containsNumber="1" minValue="6.5" maxValue="25"/>
    </cacheField>
    <cacheField name="Totale" numFmtId="0">
      <sharedItems containsSemiMixedTypes="0" containsString="0" containsNumber="1" containsInteger="1" minValue="750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uerite flore Mbah" refreshedDate="46075.808698148147" createdVersion="8" refreshedVersion="8" minRefreshableVersion="3" recordCount="10" xr:uid="{0FFD4B07-24A1-4ED8-B614-27C0CAB51E0A}">
  <cacheSource type="worksheet">
    <worksheetSource name="Tabella1"/>
  </cacheSource>
  <cacheFields count="5">
    <cacheField name="Azienda" numFmtId="0">
      <sharedItems count="4">
        <s v="Tech Innovations Ltd."/>
        <s v="SolarTech Solutions"/>
        <s v="AquaLux Dynamics"/>
        <s v="EcoVibe Solutions"/>
      </sharedItems>
    </cacheField>
    <cacheField name="Prodotto" numFmtId="0">
      <sharedItems/>
    </cacheField>
    <cacheField name="Quantità" numFmtId="0">
      <sharedItems containsSemiMixedTypes="0" containsString="0" containsNumber="1" containsInteger="1" minValue="300" maxValue="1500"/>
    </cacheField>
    <cacheField name="Prezzo" numFmtId="0">
      <sharedItems containsSemiMixedTypes="0" containsString="0" containsNumber="1" minValue="6.5" maxValue="25"/>
    </cacheField>
    <cacheField name="Totale" numFmtId="0">
      <sharedItems containsSemiMixedTypes="0" containsString="0" containsNumber="1" containsInteger="1" minValue="750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00"/>
    <n v="15.75"/>
    <n v="7875"/>
  </r>
  <r>
    <x v="0"/>
    <x v="1"/>
    <n v="1200"/>
    <n v="8.5"/>
    <n v="10200"/>
  </r>
  <r>
    <x v="1"/>
    <x v="2"/>
    <n v="800"/>
    <n v="12.25"/>
    <n v="9800"/>
  </r>
  <r>
    <x v="0"/>
    <x v="3"/>
    <n v="300"/>
    <n v="25"/>
    <n v="7500"/>
  </r>
  <r>
    <x v="1"/>
    <x v="4"/>
    <n v="1500"/>
    <n v="6.5"/>
    <n v="9750"/>
  </r>
  <r>
    <x v="2"/>
    <x v="5"/>
    <n v="700"/>
    <n v="18.75"/>
    <n v="13125"/>
  </r>
  <r>
    <x v="2"/>
    <x v="6"/>
    <n v="900"/>
    <n v="14"/>
    <n v="12600"/>
  </r>
  <r>
    <x v="1"/>
    <x v="7"/>
    <n v="1100"/>
    <n v="10.5"/>
    <n v="11550"/>
  </r>
  <r>
    <x v="2"/>
    <x v="8"/>
    <n v="600"/>
    <n v="20"/>
    <n v="12000"/>
  </r>
  <r>
    <x v="3"/>
    <x v="9"/>
    <n v="1000"/>
    <n v="13.5"/>
    <n v="13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Tecnologia"/>
    <n v="500"/>
    <n v="15.75"/>
    <n v="7875"/>
  </r>
  <r>
    <x v="0"/>
    <s v="Cibo"/>
    <n v="1200"/>
    <n v="8.5"/>
    <n v="10200"/>
  </r>
  <r>
    <x v="1"/>
    <s v="Pannelli"/>
    <n v="800"/>
    <n v="12.25"/>
    <n v="9800"/>
  </r>
  <r>
    <x v="0"/>
    <s v="Quanti"/>
    <n v="300"/>
    <n v="25"/>
    <n v="7500"/>
  </r>
  <r>
    <x v="1"/>
    <s v="Infinito"/>
    <n v="1500"/>
    <n v="6.5"/>
    <n v="9750"/>
  </r>
  <r>
    <x v="2"/>
    <s v="Crema"/>
    <n v="700"/>
    <n v="18.75"/>
    <n v="13125"/>
  </r>
  <r>
    <x v="2"/>
    <s v="Acqua"/>
    <n v="900"/>
    <n v="14"/>
    <n v="12600"/>
  </r>
  <r>
    <x v="1"/>
    <s v="Orizzonte"/>
    <n v="1100"/>
    <n v="10.5"/>
    <n v="11550"/>
  </r>
  <r>
    <x v="2"/>
    <s v="Pianeta"/>
    <n v="600"/>
    <n v="20"/>
    <n v="12000"/>
  </r>
  <r>
    <x v="3"/>
    <s v="Vibrazione"/>
    <n v="1000"/>
    <n v="13.5"/>
    <n v="1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2C862-BC47-42A6-8CE8-2CCBA8E71984}" name="Tabella pivot3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5">
    <pivotField showAll="0">
      <items count="5">
        <item x="2"/>
        <item x="3"/>
        <item x="1"/>
        <item x="0"/>
        <item t="default"/>
      </items>
    </pivotField>
    <pivotField axis="axisRow" showAll="0">
      <items count="11">
        <item x="6"/>
        <item x="1"/>
        <item x="5"/>
        <item x="4"/>
        <item x="7"/>
        <item x="2"/>
        <item x="8"/>
        <item x="3"/>
        <item x="0"/>
        <item x="9"/>
        <item t="default"/>
      </items>
    </pivotField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ma di Total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6733F-2BC1-47A3-98FC-587E006B691C}" name="Tabella pivot5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5"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a di Prezzo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5537C-9A7C-49DE-B44B-C3586F87D14F}" name="Tabella1" displayName="Tabella1" ref="A2:E12" totalsRowShown="0" headerRowDxfId="1" dataDxfId="2">
  <autoFilter ref="A2:E12" xr:uid="{4285537C-9A7C-49DE-B44B-C3586F87D14F}"/>
  <tableColumns count="5">
    <tableColumn id="1" xr3:uid="{52943D7A-F1E2-4345-BB91-225C8754BB26}" name="Azienda" dataDxfId="6"/>
    <tableColumn id="2" xr3:uid="{48880312-CA15-49F3-B317-76298BF0978D}" name="Prodotto" dataDxfId="5"/>
    <tableColumn id="3" xr3:uid="{BAAA1E88-8751-447E-9812-DF86120893CB}" name="Quantità" dataDxfId="4"/>
    <tableColumn id="4" xr3:uid="{EA7E6948-2F5D-46F8-BEDD-744A957F281A}" name="Prezzo" dataDxfId="3"/>
    <tableColumn id="5" xr3:uid="{DC80B28B-F34B-4BD9-81D9-E6D71194DDB2}" name="Totale" dataDxfId="0">
      <calculatedColumnFormula>Tabella1[[#This Row],[Quantità]]*Tabella1[[#This Row],[Prezzo]]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zoomScaleNormal="100" workbookViewId="0">
      <selection activeCell="B8" sqref="A3:E12"/>
    </sheetView>
  </sheetViews>
  <sheetFormatPr defaultColWidth="12.6640625" defaultRowHeight="15.75" customHeight="1" x14ac:dyDescent="0.25"/>
  <cols>
    <col min="1" max="1" width="19.77734375" style="4" customWidth="1"/>
    <col min="2" max="2" width="22.33203125" style="4" customWidth="1"/>
    <col min="3" max="3" width="28.33203125" style="4" customWidth="1"/>
    <col min="4" max="4" width="24" style="4" customWidth="1"/>
  </cols>
  <sheetData>
    <row r="1" spans="1:26" ht="13.8" x14ac:dyDescent="0.25"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2" t="s">
        <v>0</v>
      </c>
      <c r="B2" s="2" t="s">
        <v>1</v>
      </c>
      <c r="C2" s="2" t="s">
        <v>2</v>
      </c>
      <c r="D2" s="2" t="s">
        <v>3</v>
      </c>
      <c r="E2" s="1" t="s">
        <v>4</v>
      </c>
    </row>
    <row r="3" spans="1:26" ht="13.2" x14ac:dyDescent="0.25">
      <c r="A3" s="3" t="s">
        <v>5</v>
      </c>
      <c r="B3" s="3" t="s">
        <v>6</v>
      </c>
      <c r="C3" s="3">
        <v>500</v>
      </c>
      <c r="D3" s="3">
        <v>15.75</v>
      </c>
      <c r="E3">
        <f>Tabella1[[#This Row],[Quantità]]*Tabella1[[#This Row],[Prezzo]]</f>
        <v>7875</v>
      </c>
    </row>
    <row r="4" spans="1:26" ht="13.2" x14ac:dyDescent="0.25">
      <c r="A4" s="3" t="s">
        <v>5</v>
      </c>
      <c r="B4" s="3" t="s">
        <v>7</v>
      </c>
      <c r="C4" s="3">
        <v>1200</v>
      </c>
      <c r="D4" s="3">
        <v>8.5</v>
      </c>
      <c r="E4">
        <f>Tabella1[[#This Row],[Quantità]]*Tabella1[[#This Row],[Prezzo]]</f>
        <v>10200</v>
      </c>
    </row>
    <row r="5" spans="1:26" ht="13.2" x14ac:dyDescent="0.25">
      <c r="A5" s="3" t="s">
        <v>8</v>
      </c>
      <c r="B5" s="3" t="s">
        <v>9</v>
      </c>
      <c r="C5" s="3">
        <v>800</v>
      </c>
      <c r="D5" s="3">
        <v>12.25</v>
      </c>
      <c r="E5">
        <f>Tabella1[[#This Row],[Quantità]]*Tabella1[[#This Row],[Prezzo]]</f>
        <v>9800</v>
      </c>
    </row>
    <row r="6" spans="1:26" ht="13.2" x14ac:dyDescent="0.25">
      <c r="A6" s="3" t="s">
        <v>5</v>
      </c>
      <c r="B6" s="3" t="s">
        <v>10</v>
      </c>
      <c r="C6" s="3">
        <v>300</v>
      </c>
      <c r="D6" s="3">
        <v>25</v>
      </c>
      <c r="E6">
        <f>Tabella1[[#This Row],[Quantità]]*Tabella1[[#This Row],[Prezzo]]</f>
        <v>7500</v>
      </c>
    </row>
    <row r="7" spans="1:26" ht="13.2" x14ac:dyDescent="0.25">
      <c r="A7" s="3" t="s">
        <v>8</v>
      </c>
      <c r="B7" s="3" t="s">
        <v>11</v>
      </c>
      <c r="C7" s="3">
        <v>1500</v>
      </c>
      <c r="D7" s="3">
        <v>6.5</v>
      </c>
      <c r="E7">
        <f>Tabella1[[#This Row],[Quantità]]*Tabella1[[#This Row],[Prezzo]]</f>
        <v>9750</v>
      </c>
    </row>
    <row r="8" spans="1:26" ht="13.2" x14ac:dyDescent="0.25">
      <c r="A8" s="3" t="s">
        <v>12</v>
      </c>
      <c r="B8" s="3" t="s">
        <v>13</v>
      </c>
      <c r="C8" s="3">
        <v>700</v>
      </c>
      <c r="D8" s="3">
        <v>18.75</v>
      </c>
      <c r="E8">
        <f>Tabella1[[#This Row],[Quantità]]*Tabella1[[#This Row],[Prezzo]]</f>
        <v>13125</v>
      </c>
    </row>
    <row r="9" spans="1:26" ht="13.2" x14ac:dyDescent="0.25">
      <c r="A9" s="3" t="s">
        <v>12</v>
      </c>
      <c r="B9" s="3" t="s">
        <v>14</v>
      </c>
      <c r="C9" s="3">
        <v>900</v>
      </c>
      <c r="D9" s="3">
        <v>14</v>
      </c>
      <c r="E9">
        <f>Tabella1[[#This Row],[Quantità]]*Tabella1[[#This Row],[Prezzo]]</f>
        <v>12600</v>
      </c>
    </row>
    <row r="10" spans="1:26" ht="13.2" x14ac:dyDescent="0.25">
      <c r="A10" s="3" t="s">
        <v>8</v>
      </c>
      <c r="B10" s="3" t="s">
        <v>15</v>
      </c>
      <c r="C10" s="3">
        <v>1100</v>
      </c>
      <c r="D10" s="3">
        <v>10.5</v>
      </c>
      <c r="E10">
        <f>Tabella1[[#This Row],[Quantità]]*Tabella1[[#This Row],[Prezzo]]</f>
        <v>11550</v>
      </c>
    </row>
    <row r="11" spans="1:26" ht="13.2" x14ac:dyDescent="0.25">
      <c r="A11" s="3" t="s">
        <v>12</v>
      </c>
      <c r="B11" s="3" t="s">
        <v>16</v>
      </c>
      <c r="C11" s="3">
        <v>600</v>
      </c>
      <c r="D11" s="3">
        <v>20</v>
      </c>
      <c r="E11">
        <f>Tabella1[[#This Row],[Quantità]]*Tabella1[[#This Row],[Prezzo]]</f>
        <v>12000</v>
      </c>
      <c r="G11" s="5"/>
    </row>
    <row r="12" spans="1:26" ht="15.75" customHeight="1" x14ac:dyDescent="0.25">
      <c r="A12" s="3" t="s">
        <v>17</v>
      </c>
      <c r="B12" s="3" t="s">
        <v>18</v>
      </c>
      <c r="C12" s="3">
        <v>1000</v>
      </c>
      <c r="D12" s="3">
        <v>13.5</v>
      </c>
      <c r="E12">
        <f>Tabella1[[#This Row],[Quantità]]*Tabella1[[#This Row],[Prezzo]]</f>
        <v>13500</v>
      </c>
    </row>
  </sheetData>
  <pageMargins left="0.19685039370078741" right="0.19685039370078741" top="0.39370078740157483" bottom="0.39370078740157483" header="0.11811023622047245" footer="0.31496062992125984"/>
  <pageSetup paperSize="256" orientation="portrait" horizontalDpi="4294967293" verticalDpi="0" r:id="rId1"/>
  <headerFooter>
    <oddHeader>&amp;CSpese recenti</oddHeader>
  </headerFooter>
  <rowBreaks count="1" manualBreakCount="1">
    <brk id="20" max="16383" man="1"/>
  </rowBreaks>
  <colBreaks count="1" manualBreakCount="1">
    <brk id="3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8F7D-08BA-423C-B323-7F082B11DEFD}">
  <dimension ref="A3:B14"/>
  <sheetViews>
    <sheetView tabSelected="1" topLeftCell="A2" workbookViewId="0">
      <selection activeCell="A7" sqref="A3:B14"/>
    </sheetView>
  </sheetViews>
  <sheetFormatPr defaultRowHeight="13.2" x14ac:dyDescent="0.25"/>
  <cols>
    <col min="1" max="1" width="17.88671875" bestFit="1" customWidth="1"/>
    <col min="2" max="2" width="15.5546875" bestFit="1" customWidth="1"/>
    <col min="3" max="4" width="16.5546875" bestFit="1" customWidth="1"/>
  </cols>
  <sheetData>
    <row r="3" spans="1:2" x14ac:dyDescent="0.25">
      <c r="A3" s="6" t="s">
        <v>19</v>
      </c>
      <c r="B3" t="s">
        <v>22</v>
      </c>
    </row>
    <row r="4" spans="1:2" x14ac:dyDescent="0.25">
      <c r="A4" s="7" t="s">
        <v>14</v>
      </c>
      <c r="B4" s="8">
        <v>12600</v>
      </c>
    </row>
    <row r="5" spans="1:2" x14ac:dyDescent="0.25">
      <c r="A5" s="7" t="s">
        <v>7</v>
      </c>
      <c r="B5" s="8">
        <v>10200</v>
      </c>
    </row>
    <row r="6" spans="1:2" x14ac:dyDescent="0.25">
      <c r="A6" s="7" t="s">
        <v>13</v>
      </c>
      <c r="B6" s="8">
        <v>13125</v>
      </c>
    </row>
    <row r="7" spans="1:2" x14ac:dyDescent="0.25">
      <c r="A7" s="7" t="s">
        <v>11</v>
      </c>
      <c r="B7" s="8">
        <v>9750</v>
      </c>
    </row>
    <row r="8" spans="1:2" x14ac:dyDescent="0.25">
      <c r="A8" s="7" t="s">
        <v>15</v>
      </c>
      <c r="B8" s="8">
        <v>11550</v>
      </c>
    </row>
    <row r="9" spans="1:2" x14ac:dyDescent="0.25">
      <c r="A9" s="7" t="s">
        <v>9</v>
      </c>
      <c r="B9" s="8">
        <v>9800</v>
      </c>
    </row>
    <row r="10" spans="1:2" x14ac:dyDescent="0.25">
      <c r="A10" s="7" t="s">
        <v>16</v>
      </c>
      <c r="B10" s="8">
        <v>12000</v>
      </c>
    </row>
    <row r="11" spans="1:2" x14ac:dyDescent="0.25">
      <c r="A11" s="7" t="s">
        <v>10</v>
      </c>
      <c r="B11" s="8">
        <v>7500</v>
      </c>
    </row>
    <row r="12" spans="1:2" x14ac:dyDescent="0.25">
      <c r="A12" s="7" t="s">
        <v>6</v>
      </c>
      <c r="B12" s="8">
        <v>7875</v>
      </c>
    </row>
    <row r="13" spans="1:2" x14ac:dyDescent="0.25">
      <c r="A13" s="7" t="s">
        <v>18</v>
      </c>
      <c r="B13" s="8">
        <v>13500</v>
      </c>
    </row>
    <row r="14" spans="1:2" x14ac:dyDescent="0.25">
      <c r="A14" s="7" t="s">
        <v>21</v>
      </c>
      <c r="B14" s="8">
        <v>107900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2"/>
  <headerFooter>
    <oddHeader>&amp;A</oddHeader>
    <oddFooter>&amp;A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90F4-DB13-4A91-96C6-7ECFCC897CF2}">
  <dimension ref="A3:B8"/>
  <sheetViews>
    <sheetView topLeftCell="A2" workbookViewId="0">
      <selection activeCell="A6" sqref="A3:B8"/>
    </sheetView>
  </sheetViews>
  <sheetFormatPr defaultRowHeight="13.2" x14ac:dyDescent="0.25"/>
  <cols>
    <col min="1" max="1" width="18.44140625" bestFit="1" customWidth="1"/>
    <col min="2" max="2" width="16.33203125" bestFit="1" customWidth="1"/>
  </cols>
  <sheetData>
    <row r="3" spans="1:2" x14ac:dyDescent="0.25">
      <c r="A3" s="6" t="s">
        <v>19</v>
      </c>
      <c r="B3" t="s">
        <v>20</v>
      </c>
    </row>
    <row r="4" spans="1:2" x14ac:dyDescent="0.25">
      <c r="A4" s="7" t="s">
        <v>12</v>
      </c>
      <c r="B4" s="8">
        <v>52.75</v>
      </c>
    </row>
    <row r="5" spans="1:2" x14ac:dyDescent="0.25">
      <c r="A5" s="7" t="s">
        <v>17</v>
      </c>
      <c r="B5" s="8">
        <v>13.5</v>
      </c>
    </row>
    <row r="6" spans="1:2" x14ac:dyDescent="0.25">
      <c r="A6" s="7" t="s">
        <v>8</v>
      </c>
      <c r="B6" s="8">
        <v>29.25</v>
      </c>
    </row>
    <row r="7" spans="1:2" x14ac:dyDescent="0.25">
      <c r="A7" s="7" t="s">
        <v>5</v>
      </c>
      <c r="B7" s="8">
        <v>49.25</v>
      </c>
    </row>
    <row r="8" spans="1:2" x14ac:dyDescent="0.25">
      <c r="A8" s="7" t="s">
        <v>21</v>
      </c>
      <c r="B8" s="8">
        <v>144.75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2"/>
  <headerFooter>
    <oddHeader>&amp;A</oddHeader>
    <oddFooter>&amp;A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Tabella dati</vt:lpstr>
      <vt:lpstr>Grafici prodotti</vt:lpstr>
      <vt:lpstr>Grafici Aziende</vt:lpstr>
      <vt:lpstr>'Tabella dati'!Area_stampa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Marguerite flore Mbah</cp:lastModifiedBy>
  <cp:lastPrinted>2026-02-22T19:03:12Z</cp:lastPrinted>
  <dcterms:created xsi:type="dcterms:W3CDTF">2026-02-22T17:57:16Z</dcterms:created>
  <dcterms:modified xsi:type="dcterms:W3CDTF">2026-02-22T19:07:10Z</dcterms:modified>
</cp:coreProperties>
</file>